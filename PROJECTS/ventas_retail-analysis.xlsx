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yhona\Desktop\CarpetaADID\DATA-JOURNEY2\EXCEL\"/>
    </mc:Choice>
  </mc:AlternateContent>
  <xr:revisionPtr revIDLastSave="0" documentId="13_ncr:1_{E74E1D9C-4176-4D33-9B93-A1B2663047B6}" xr6:coauthVersionLast="47" xr6:coauthVersionMax="47" xr10:uidLastSave="{00000000-0000-0000-0000-000000000000}"/>
  <bookViews>
    <workbookView xWindow="-120" yWindow="-120" windowWidth="20730" windowHeight="11160" xr2:uid="{8084747E-C07C-4F0E-9143-EB1FB9B7B006}"/>
  </bookViews>
  <sheets>
    <sheet name="ventas" sheetId="1" r:id="rId1"/>
  </sheets>
  <calcPr calcId="191029"/>
  <pivotCaches>
    <pivotCache cacheId="1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G2" i="1"/>
  <c r="G3" i="1"/>
  <c r="G4" i="1"/>
  <c r="G5" i="1"/>
  <c r="G6" i="1"/>
  <c r="G7" i="1"/>
  <c r="G8" i="1"/>
  <c r="G9" i="1"/>
</calcChain>
</file>

<file path=xl/sharedStrings.xml><?xml version="1.0" encoding="utf-8"?>
<sst xmlns="http://schemas.openxmlformats.org/spreadsheetml/2006/main" count="53" uniqueCount="23">
  <si>
    <t>fecha</t>
  </si>
  <si>
    <t>producto</t>
  </si>
  <si>
    <t>categoria</t>
  </si>
  <si>
    <t>region</t>
  </si>
  <si>
    <t>vendedor</t>
  </si>
  <si>
    <t>ventas</t>
  </si>
  <si>
    <t>Laptop</t>
  </si>
  <si>
    <t>Tecnología</t>
  </si>
  <si>
    <t>Lima</t>
  </si>
  <si>
    <t>Ana</t>
  </si>
  <si>
    <t>Mouse</t>
  </si>
  <si>
    <t>Arequipa</t>
  </si>
  <si>
    <t>Luis</t>
  </si>
  <si>
    <t>Teclado</t>
  </si>
  <si>
    <t>Cusco</t>
  </si>
  <si>
    <t>Maria</t>
  </si>
  <si>
    <t>Monitor</t>
  </si>
  <si>
    <t>Pedro</t>
  </si>
  <si>
    <t>Tipo Venta</t>
  </si>
  <si>
    <t>Etiquetas de fila</t>
  </si>
  <si>
    <t>Total general</t>
  </si>
  <si>
    <t>Suma de ventas</t>
  </si>
  <si>
    <t>Promedio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</si>
</sst>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S/&quot;\ #,##0.00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9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numFmt numFmtId="19" formatCode="d/mm/yyyy"/>
    </dxf>
    <dxf>
      <numFmt numFmtId="169" formatCode="&quot;S/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[ventas_retail.xlsx]ventas!TablaDinámica1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ventas!$J$18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ventas!$I$19:$I$22</c:f>
              <c:strCache>
                <c:ptCount val="3"/>
                <c:pt idx="0">
                  <c:v>Arequipa</c:v>
                </c:pt>
                <c:pt idx="1">
                  <c:v>Cusco</c:v>
                </c:pt>
                <c:pt idx="2">
                  <c:v>Lima</c:v>
                </c:pt>
              </c:strCache>
            </c:strRef>
          </c:cat>
          <c:val>
            <c:numRef>
              <c:f>ventas!$J$19:$J$22</c:f>
              <c:numCache>
                <c:formatCode>"S/"\ #,##0.00</c:formatCode>
                <c:ptCount val="3"/>
                <c:pt idx="0">
                  <c:v>4970</c:v>
                </c:pt>
                <c:pt idx="1">
                  <c:v>3950</c:v>
                </c:pt>
                <c:pt idx="2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8-4E92-B096-02B707A95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831552"/>
        <c:axId val="1108832032"/>
      </c:barChart>
      <c:catAx>
        <c:axId val="110883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8832032"/>
        <c:crosses val="autoZero"/>
        <c:auto val="1"/>
        <c:lblAlgn val="ctr"/>
        <c:lblOffset val="100"/>
        <c:noMultiLvlLbl val="0"/>
      </c:catAx>
      <c:valAx>
        <c:axId val="11088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088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[ventas_retail.xlsx]ventas!TablaDinámica6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ventas!$J$27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ventas!$I$28:$I$32</c:f>
              <c:strCache>
                <c:ptCount val="4"/>
                <c:pt idx="0">
                  <c:v>Ana</c:v>
                </c:pt>
                <c:pt idx="1">
                  <c:v>Luis</c:v>
                </c:pt>
                <c:pt idx="2">
                  <c:v>Maria</c:v>
                </c:pt>
                <c:pt idx="3">
                  <c:v>Pedro</c:v>
                </c:pt>
              </c:strCache>
            </c:strRef>
          </c:cat>
          <c:val>
            <c:numRef>
              <c:f>ventas!$J$28:$J$32</c:f>
              <c:numCache>
                <c:formatCode>"S/"\ #,##0.00</c:formatCode>
                <c:ptCount val="4"/>
                <c:pt idx="0">
                  <c:v>4500</c:v>
                </c:pt>
                <c:pt idx="1">
                  <c:v>970</c:v>
                </c:pt>
                <c:pt idx="2">
                  <c:v>3950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2-4C72-B1D9-0895392B6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1028701</xdr:colOff>
      <xdr:row>0</xdr:row>
      <xdr:rowOff>228599</xdr:rowOff>
    </xdr:from>
    <xdr:ext cx="2857500" cy="953466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62B10A10-A9CB-4847-83CF-6BABE93C96AB}"/>
            </a:ext>
          </a:extLst>
        </xdr:cNvPr>
        <xdr:cNvSpPr txBox="1"/>
      </xdr:nvSpPr>
      <xdr:spPr>
        <a:xfrm>
          <a:off x="7781926" y="228599"/>
          <a:ext cx="2857500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/>
            <a:t>Solo ventas de Arequipa</a:t>
          </a:r>
        </a:p>
        <a:p>
          <a:r>
            <a:rPr lang="es-PE"/>
            <a:t>Ventas de mayor a menor</a:t>
          </a:r>
        </a:p>
        <a:p>
          <a:r>
            <a:rPr lang="es-PE"/>
            <a:t>¿Cuál fue la venta más alta?</a:t>
          </a:r>
        </a:p>
        <a:p>
          <a:r>
            <a:rPr lang="es-PE"/>
            <a:t>¿Qué vendedor vendió más laptops?</a:t>
          </a:r>
        </a:p>
        <a:p>
          <a:endParaRPr lang="es-PE" sz="1100"/>
        </a:p>
      </xdr:txBody>
    </xdr:sp>
    <xdr:clientData/>
  </xdr:oneCellAnchor>
  <xdr:twoCellAnchor>
    <xdr:from>
      <xdr:col>0</xdr:col>
      <xdr:colOff>571500</xdr:colOff>
      <xdr:row>9</xdr:row>
      <xdr:rowOff>166687</xdr:rowOff>
    </xdr:from>
    <xdr:to>
      <xdr:col>6</xdr:col>
      <xdr:colOff>838200</xdr:colOff>
      <xdr:row>24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BE804F8-2A83-8F68-B1A1-1D468ABED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76200</xdr:colOff>
      <xdr:row>7</xdr:row>
      <xdr:rowOff>9525</xdr:rowOff>
    </xdr:from>
    <xdr:ext cx="2465675" cy="609013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16306A2-31DB-1DFA-32E8-E0242F87D703}"/>
            </a:ext>
          </a:extLst>
        </xdr:cNvPr>
        <xdr:cNvSpPr txBox="1"/>
      </xdr:nvSpPr>
      <xdr:spPr>
        <a:xfrm>
          <a:off x="8001000" y="1390650"/>
          <a:ext cx="2465675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/>
            <a:t>grafico de barras - ventas por región</a:t>
          </a:r>
        </a:p>
        <a:p>
          <a:r>
            <a:rPr lang="es-PE"/>
            <a:t>grafico pastel</a:t>
          </a:r>
          <a:r>
            <a:rPr lang="es-PE" baseline="0"/>
            <a:t> - paticipacion vendedores</a:t>
          </a:r>
          <a:endParaRPr lang="es-PE"/>
        </a:p>
        <a:p>
          <a:endParaRPr lang="es-PE" sz="1100"/>
        </a:p>
      </xdr:txBody>
    </xdr:sp>
    <xdr:clientData/>
  </xdr:oneCellAnchor>
  <xdr:twoCellAnchor>
    <xdr:from>
      <xdr:col>2</xdr:col>
      <xdr:colOff>547687</xdr:colOff>
      <xdr:row>25</xdr:row>
      <xdr:rowOff>33337</xdr:rowOff>
    </xdr:from>
    <xdr:to>
      <xdr:col>7</xdr:col>
      <xdr:colOff>700087</xdr:colOff>
      <xdr:row>39</xdr:row>
      <xdr:rowOff>109537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88C74BF-2C71-BA74-5599-BF1728E61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nathan chaucca" refreshedDate="46155.417598495369" createdVersion="8" refreshedVersion="8" minRefreshableVersion="3" recordCount="8" xr:uid="{F86C575B-CF25-4455-B737-BBFB8C716A25}">
  <cacheSource type="worksheet">
    <worksheetSource name="Tabla3"/>
  </cacheSource>
  <cacheFields count="7">
    <cacheField name="fecha" numFmtId="14">
      <sharedItems containsSemiMixedTypes="0" containsNonDate="0" containsDate="1" containsString="0" minDate="2026-01-01T00:00:00" maxDate="2026-01-06T00:00:00"/>
    </cacheField>
    <cacheField name="producto" numFmtId="0">
      <sharedItems/>
    </cacheField>
    <cacheField name="categoria" numFmtId="0">
      <sharedItems/>
    </cacheField>
    <cacheField name="region" numFmtId="0">
      <sharedItems count="3">
        <s v="Lima"/>
        <s v="Arequipa"/>
        <s v="Cusco"/>
      </sharedItems>
    </cacheField>
    <cacheField name="vendedor" numFmtId="0">
      <sharedItems count="4">
        <s v="Ana"/>
        <s v="Luis"/>
        <s v="Maria"/>
        <s v="Pedro"/>
      </sharedItems>
    </cacheField>
    <cacheField name="ventas" numFmtId="169">
      <sharedItems containsSemiMixedTypes="0" containsString="0" containsNumber="1" containsInteger="1" minValue="100" maxValue="4000"/>
    </cacheField>
    <cacheField name="Tipo Vent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6-01-01T00:00:00"/>
    <s v="Laptop"/>
    <s v="Tecnología"/>
    <x v="0"/>
    <x v="0"/>
    <n v="3500"/>
    <s v="Alta"/>
  </r>
  <r>
    <d v="2026-01-03T00:00:00"/>
    <s v="Monitor"/>
    <s v="Tecnología"/>
    <x v="0"/>
    <x v="0"/>
    <n v="900"/>
    <s v="Alta"/>
  </r>
  <r>
    <d v="2026-01-04T00:00:00"/>
    <s v="Mouse"/>
    <s v="Tecnología"/>
    <x v="0"/>
    <x v="0"/>
    <n v="100"/>
    <s v="Baja"/>
  </r>
  <r>
    <d v="2026-01-05T00:00:00"/>
    <s v="Monitor"/>
    <s v="Tecnología"/>
    <x v="1"/>
    <x v="1"/>
    <n v="850"/>
    <s v="Alta"/>
  </r>
  <r>
    <d v="2026-01-02T00:00:00"/>
    <s v="Mouse"/>
    <s v="Tecnología"/>
    <x v="1"/>
    <x v="1"/>
    <n v="120"/>
    <s v="Alta"/>
  </r>
  <r>
    <d v="2026-01-04T00:00:00"/>
    <s v="Laptop"/>
    <s v="Tecnología"/>
    <x v="2"/>
    <x v="2"/>
    <n v="3700"/>
    <s v="Alta"/>
  </r>
  <r>
    <d v="2026-01-02T00:00:00"/>
    <s v="Teclado"/>
    <s v="Tecnología"/>
    <x v="2"/>
    <x v="2"/>
    <n v="250"/>
    <s v="Alta"/>
  </r>
  <r>
    <d v="2026-01-03T00:00:00"/>
    <s v="Laptop"/>
    <s v="Tecnología"/>
    <x v="1"/>
    <x v="3"/>
    <n v="4000"/>
    <s v="Al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07556-5D4C-4E98-9304-F19D37028741}" name="TablaDinámica6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I27:J32" firstHeaderRow="1" firstDataRow="1" firstDataCol="1"/>
  <pivotFields count="7">
    <pivotField numFmtId="14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dataField="1" numFmtId="169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ventas" fld="5" baseField="0" baseItem="0" numFmtId="16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A6444-3FE9-4E4E-88A5-642C95770A97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I18:J22" firstHeaderRow="1" firstDataRow="1" firstDataCol="1"/>
  <pivotFields count="7">
    <pivotField numFmtId="14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numFmtId="169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ventas" fld="5" baseField="0" baseItem="0" numFmtId="16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38AA1A-318C-4B54-930B-4DC0EC611926}" name="Tabla3" displayName="Tabla3" ref="A1:H9" totalsRowShown="0" headerRowDxfId="1">
  <autoFilter ref="A1:H9" xr:uid="{EC38AA1A-318C-4B54-930B-4DC0EC611926}"/>
  <sortState xmlns:xlrd2="http://schemas.microsoft.com/office/spreadsheetml/2017/richdata2" ref="A2:F9">
    <sortCondition ref="E1:E9"/>
  </sortState>
  <tableColumns count="8">
    <tableColumn id="1" xr3:uid="{5313140B-39A6-455B-9D5F-E4C526DB515F}" name="fecha" dataDxfId="2"/>
    <tableColumn id="2" xr3:uid="{D2498DF6-8FE4-43C7-9301-B746287B313F}" name="producto"/>
    <tableColumn id="3" xr3:uid="{19232565-C097-471B-95A3-8BFC9A359E5A}" name="categoria"/>
    <tableColumn id="4" xr3:uid="{79F8C761-A395-4E52-8676-246F29846A54}" name="region"/>
    <tableColumn id="5" xr3:uid="{D4A87992-8A19-4734-931D-11C7E91F74E9}" name="vendedor"/>
    <tableColumn id="6" xr3:uid="{D8C9C278-20AF-48E2-9078-73E275E0337E}" name="ventas" dataDxfId="3"/>
    <tableColumn id="7" xr3:uid="{8C4C9F27-BD44-4173-9577-9A550A98FC89}" name="Tipo Venta" dataDxfId="0">
      <calculatedColumnFormula>IF(Tabla3[[#This Row],[ventas]]&gt;100,"Alta","Baja")</calculatedColumnFormula>
    </tableColumn>
    <tableColumn id="8" xr3:uid="{2108B440-4BAB-40DC-8267-1A212E7A2AE5}" name="Promedio V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0DE4-C429-40AE-B8AA-6DCBC0EF4769}">
  <dimension ref="A1:J32"/>
  <sheetViews>
    <sheetView tabSelected="1" workbookViewId="0">
      <selection activeCell="J14" sqref="J14"/>
    </sheetView>
  </sheetViews>
  <sheetFormatPr baseColWidth="10" defaultRowHeight="15" x14ac:dyDescent="0.25"/>
  <cols>
    <col min="1" max="1" width="9.7109375" bestFit="1" customWidth="1"/>
    <col min="2" max="2" width="13.85546875" bestFit="1" customWidth="1"/>
    <col min="3" max="3" width="14.140625" bestFit="1" customWidth="1"/>
    <col min="4" max="4" width="10.85546875" bestFit="1" customWidth="1"/>
    <col min="5" max="5" width="14.42578125" bestFit="1" customWidth="1"/>
    <col min="6" max="6" width="11.140625" bestFit="1" customWidth="1"/>
    <col min="7" max="7" width="15.7109375" bestFit="1" customWidth="1"/>
    <col min="8" max="8" width="16.7109375" bestFit="1" customWidth="1"/>
    <col min="9" max="9" width="17.5703125" bestFit="1" customWidth="1"/>
    <col min="10" max="10" width="14.85546875" bestFit="1" customWidth="1"/>
  </cols>
  <sheetData>
    <row r="1" spans="1:8" ht="18.7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18</v>
      </c>
      <c r="H1" s="3" t="s">
        <v>22</v>
      </c>
    </row>
    <row r="2" spans="1:8" x14ac:dyDescent="0.25">
      <c r="A2" s="1">
        <v>46023</v>
      </c>
      <c r="B2" t="s">
        <v>6</v>
      </c>
      <c r="C2" t="s">
        <v>7</v>
      </c>
      <c r="D2" t="s">
        <v>8</v>
      </c>
      <c r="E2" t="s">
        <v>9</v>
      </c>
      <c r="F2" s="2">
        <v>3500</v>
      </c>
      <c r="G2" t="str">
        <f>IF(Tabla3[[#This Row],[ventas]]&gt;100,"Alta","Baja")</f>
        <v>Alta</v>
      </c>
    </row>
    <row r="3" spans="1:8" x14ac:dyDescent="0.25">
      <c r="A3" s="1">
        <v>46025</v>
      </c>
      <c r="B3" t="s">
        <v>16</v>
      </c>
      <c r="C3" t="s">
        <v>7</v>
      </c>
      <c r="D3" t="s">
        <v>8</v>
      </c>
      <c r="E3" t="s">
        <v>9</v>
      </c>
      <c r="F3" s="2">
        <v>900</v>
      </c>
      <c r="G3" t="str">
        <f>IF(Tabla3[[#This Row],[ventas]]&gt;100,"Alta","Baja")</f>
        <v>Alta</v>
      </c>
    </row>
    <row r="4" spans="1:8" x14ac:dyDescent="0.25">
      <c r="A4" s="1">
        <v>46026</v>
      </c>
      <c r="B4" t="s">
        <v>10</v>
      </c>
      <c r="C4" t="s">
        <v>7</v>
      </c>
      <c r="D4" t="s">
        <v>8</v>
      </c>
      <c r="E4" t="s">
        <v>9</v>
      </c>
      <c r="F4" s="2">
        <v>100</v>
      </c>
      <c r="G4" t="str">
        <f>IF(Tabla3[[#This Row],[ventas]]&gt;100,"Alta","Baja")</f>
        <v>Baja</v>
      </c>
    </row>
    <row r="5" spans="1:8" x14ac:dyDescent="0.25">
      <c r="A5" s="1">
        <v>46027</v>
      </c>
      <c r="B5" t="s">
        <v>16</v>
      </c>
      <c r="C5" t="s">
        <v>7</v>
      </c>
      <c r="D5" t="s">
        <v>11</v>
      </c>
      <c r="E5" t="s">
        <v>12</v>
      </c>
      <c r="F5" s="2">
        <v>850</v>
      </c>
      <c r="G5" t="str">
        <f>IF(Tabla3[[#This Row],[ventas]]&gt;100,"Alta","Baja")</f>
        <v>Alta</v>
      </c>
    </row>
    <row r="6" spans="1:8" x14ac:dyDescent="0.25">
      <c r="A6" s="1">
        <v>46024</v>
      </c>
      <c r="B6" t="s">
        <v>10</v>
      </c>
      <c r="C6" t="s">
        <v>7</v>
      </c>
      <c r="D6" t="s">
        <v>11</v>
      </c>
      <c r="E6" t="s">
        <v>12</v>
      </c>
      <c r="F6" s="2">
        <v>120</v>
      </c>
      <c r="G6" t="str">
        <f>IF(Tabla3[[#This Row],[ventas]]&gt;100,"Alta","Baja")</f>
        <v>Alta</v>
      </c>
    </row>
    <row r="7" spans="1:8" x14ac:dyDescent="0.25">
      <c r="A7" s="1">
        <v>46026</v>
      </c>
      <c r="B7" t="s">
        <v>6</v>
      </c>
      <c r="C7" t="s">
        <v>7</v>
      </c>
      <c r="D7" t="s">
        <v>14</v>
      </c>
      <c r="E7" t="s">
        <v>15</v>
      </c>
      <c r="F7" s="2">
        <v>3700</v>
      </c>
      <c r="G7" t="str">
        <f>IF(Tabla3[[#This Row],[ventas]]&gt;100,"Alta","Baja")</f>
        <v>Alta</v>
      </c>
    </row>
    <row r="8" spans="1:8" x14ac:dyDescent="0.25">
      <c r="A8" s="1">
        <v>46024</v>
      </c>
      <c r="B8" t="s">
        <v>13</v>
      </c>
      <c r="C8" t="s">
        <v>7</v>
      </c>
      <c r="D8" t="s">
        <v>14</v>
      </c>
      <c r="E8" t="s">
        <v>15</v>
      </c>
      <c r="F8" s="2">
        <v>250</v>
      </c>
      <c r="G8" t="str">
        <f>IF(Tabla3[[#This Row],[ventas]]&gt;100,"Alta","Baja")</f>
        <v>Alta</v>
      </c>
    </row>
    <row r="9" spans="1:8" x14ac:dyDescent="0.25">
      <c r="A9" s="1">
        <v>46025</v>
      </c>
      <c r="B9" t="s">
        <v>6</v>
      </c>
      <c r="C9" t="s">
        <v>7</v>
      </c>
      <c r="D9" t="s">
        <v>11</v>
      </c>
      <c r="E9" t="s">
        <v>17</v>
      </c>
      <c r="F9" s="2">
        <v>4000</v>
      </c>
      <c r="G9" t="str">
        <f>IF(Tabla3[[#This Row],[ventas]]&gt;100,"Alta","Baja")</f>
        <v>Alta</v>
      </c>
      <c r="H9">
        <f>AVERAGE(Tabla3[ventas])</f>
        <v>1677.5</v>
      </c>
    </row>
    <row r="18" spans="9:10" x14ac:dyDescent="0.25">
      <c r="I18" s="4" t="s">
        <v>19</v>
      </c>
      <c r="J18" t="s">
        <v>21</v>
      </c>
    </row>
    <row r="19" spans="9:10" x14ac:dyDescent="0.25">
      <c r="I19" s="5" t="s">
        <v>11</v>
      </c>
      <c r="J19" s="2">
        <v>4970</v>
      </c>
    </row>
    <row r="20" spans="9:10" x14ac:dyDescent="0.25">
      <c r="I20" s="5" t="s">
        <v>14</v>
      </c>
      <c r="J20" s="2">
        <v>3950</v>
      </c>
    </row>
    <row r="21" spans="9:10" x14ac:dyDescent="0.25">
      <c r="I21" s="5" t="s">
        <v>8</v>
      </c>
      <c r="J21" s="2">
        <v>4500</v>
      </c>
    </row>
    <row r="22" spans="9:10" x14ac:dyDescent="0.25">
      <c r="I22" s="5" t="s">
        <v>20</v>
      </c>
      <c r="J22" s="2">
        <v>13420</v>
      </c>
    </row>
    <row r="27" spans="9:10" x14ac:dyDescent="0.25">
      <c r="I27" s="4" t="s">
        <v>19</v>
      </c>
      <c r="J27" t="s">
        <v>21</v>
      </c>
    </row>
    <row r="28" spans="9:10" x14ac:dyDescent="0.25">
      <c r="I28" s="5" t="s">
        <v>9</v>
      </c>
      <c r="J28" s="2">
        <v>4500</v>
      </c>
    </row>
    <row r="29" spans="9:10" x14ac:dyDescent="0.25">
      <c r="I29" s="5" t="s">
        <v>12</v>
      </c>
      <c r="J29" s="2">
        <v>970</v>
      </c>
    </row>
    <row r="30" spans="9:10" x14ac:dyDescent="0.25">
      <c r="I30" s="5" t="s">
        <v>15</v>
      </c>
      <c r="J30" s="2">
        <v>3950</v>
      </c>
    </row>
    <row r="31" spans="9:10" x14ac:dyDescent="0.25">
      <c r="I31" s="5" t="s">
        <v>17</v>
      </c>
      <c r="J31" s="2">
        <v>4000</v>
      </c>
    </row>
    <row r="32" spans="9:10" x14ac:dyDescent="0.25">
      <c r="I32" s="5" t="s">
        <v>20</v>
      </c>
      <c r="J32" s="2">
        <v>13420</v>
      </c>
    </row>
  </sheetData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DG24945</dc:creator>
  <cp:lastModifiedBy>yonathan chaucca</cp:lastModifiedBy>
  <dcterms:created xsi:type="dcterms:W3CDTF">2026-05-13T14:26:27Z</dcterms:created>
  <dcterms:modified xsi:type="dcterms:W3CDTF">2026-05-13T15:32:50Z</dcterms:modified>
</cp:coreProperties>
</file>